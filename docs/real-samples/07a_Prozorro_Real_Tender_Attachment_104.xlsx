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DER\Desktop\Ліцей Мрія\ПРАВКИ ВІД ЮРИСТА\"/>
    </mc:Choice>
  </mc:AlternateContent>
  <xr:revisionPtr revIDLastSave="0" documentId="8_{13F63DEB-FA3A-4EC5-99AA-79F89A69912B}" xr6:coauthVersionLast="47" xr6:coauthVersionMax="47" xr10:uidLastSave="{00000000-0000-0000-0000-000000000000}"/>
  <bookViews>
    <workbookView xWindow="-113" yWindow="-113" windowWidth="24267" windowHeight="13023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9" i="1" l="1"/>
  <c r="G76" i="1" l="1"/>
  <c r="G47" i="1"/>
  <c r="C87" i="1"/>
  <c r="G43" i="1" l="1"/>
  <c r="G42" i="1"/>
  <c r="C73" i="1" l="1"/>
  <c r="G73" i="1" s="1"/>
  <c r="C62" i="1"/>
  <c r="G62" i="1" s="1"/>
  <c r="C59" i="1"/>
  <c r="G59" i="1" s="1"/>
  <c r="C70" i="1"/>
  <c r="G70" i="1" s="1"/>
  <c r="C85" i="1"/>
  <c r="G85" i="1" s="1"/>
  <c r="C39" i="1"/>
  <c r="G39" i="1" s="1"/>
  <c r="C55" i="1"/>
  <c r="G55" i="1" s="1"/>
  <c r="C54" i="1" l="1"/>
  <c r="G54" i="1" s="1"/>
  <c r="C53" i="1"/>
  <c r="G53" i="1" s="1"/>
  <c r="C36" i="1"/>
  <c r="G36" i="1" s="1"/>
  <c r="C40" i="1"/>
  <c r="G40" i="1" s="1"/>
  <c r="C88" i="1"/>
  <c r="G88" i="1" s="1"/>
  <c r="C16" i="1" l="1"/>
  <c r="G16" i="1" s="1"/>
  <c r="C26" i="1"/>
  <c r="G26" i="1" s="1"/>
  <c r="G87" i="1"/>
  <c r="C75" i="1"/>
  <c r="G75" i="1" s="1"/>
  <c r="C82" i="1"/>
  <c r="G82" i="1" s="1"/>
  <c r="C77" i="1"/>
  <c r="G77" i="1" s="1"/>
  <c r="C56" i="1"/>
  <c r="G56" i="1" s="1"/>
  <c r="C30" i="1"/>
  <c r="G30" i="1" s="1"/>
  <c r="C94" i="1"/>
  <c r="G94" i="1" s="1"/>
  <c r="C71" i="1"/>
  <c r="G71" i="1" s="1"/>
  <c r="C49" i="1"/>
  <c r="G49" i="1" s="1"/>
  <c r="C72" i="1"/>
  <c r="G72" i="1" s="1"/>
  <c r="C22" i="1"/>
  <c r="G22" i="1" s="1"/>
  <c r="C46" i="1"/>
  <c r="G46" i="1" s="1"/>
  <c r="C45" i="1"/>
  <c r="G45" i="1" s="1"/>
  <c r="C90" i="1"/>
  <c r="G90" i="1" s="1"/>
  <c r="C52" i="1"/>
  <c r="G52" i="1" s="1"/>
  <c r="C51" i="1"/>
  <c r="G51" i="1" s="1"/>
  <c r="C86" i="1"/>
  <c r="G86" i="1" s="1"/>
  <c r="C37" i="1"/>
  <c r="G37" i="1" s="1"/>
  <c r="C25" i="1"/>
  <c r="G25" i="1" s="1"/>
  <c r="G14" i="1"/>
  <c r="C14" i="1"/>
  <c r="G44" i="1"/>
  <c r="C44" i="1"/>
  <c r="G11" i="1" l="1"/>
  <c r="G95" i="1" s="1"/>
  <c r="G10" i="1" s="1"/>
  <c r="C11" i="1"/>
  <c r="C95" i="1" s="1"/>
  <c r="C10" i="1" s="1"/>
</calcChain>
</file>

<file path=xl/sharedStrings.xml><?xml version="1.0" encoding="utf-8"?>
<sst xmlns="http://schemas.openxmlformats.org/spreadsheetml/2006/main" count="102" uniqueCount="92">
  <si>
    <t>ТОВ "УКРБУДПР"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</si>
  <si>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</si>
  <si>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</si>
  <si>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</si>
  <si>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</si>
  <si>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</si>
  <si>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</si>
  <si>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Податк. призн.</t>
  </si>
  <si>
    <t>Дебет</t>
  </si>
  <si>
    <t>Кредит</t>
  </si>
  <si>
    <t>Основні засоби</t>
  </si>
  <si>
    <t>Опод. ПДВ</t>
  </si>
  <si>
    <t>104</t>
  </si>
  <si>
    <t xml:space="preserve"> Гідробур DIGGA PD15-5+Шнек 1500мм А6 350мм+Подовжувач 2500мм-3шт</t>
  </si>
  <si>
    <t>Акумулятор літій-іонний Li-wall 51.2V 100 АН</t>
  </si>
  <si>
    <t>Бензиновий генератор  MATARI MH11003E, 1/3фазн, 1фазн потужність 7,5кВА, 3фазн потужність 8кВА, 230В</t>
  </si>
  <si>
    <t>Бетонозмішувач Скіф БСМ 320(об'єм готової суміши розчину 270л)</t>
  </si>
  <si>
    <t>Бетонозмішувач Скіф БСМ 400</t>
  </si>
  <si>
    <t>Бункер бетонної маси 1,0м. куб</t>
  </si>
  <si>
    <t>БФП лазерний Kyocera Ecosys M3645dn</t>
  </si>
  <si>
    <t>Віброплита MS90-4 Honda GX160 5,5к.с. 83кг розмір плити 530*500мм з бачуом для води+коврик+колеса</t>
  </si>
  <si>
    <t>Генератор бензиновий Dnipro-M GX-70E</t>
  </si>
  <si>
    <t>Генератор бензиновий Veta VT350JE</t>
  </si>
  <si>
    <t>Гідробур *Х2V45R</t>
  </si>
  <si>
    <t>Гідронасос *Х2V45R</t>
  </si>
  <si>
    <t>Дизельний генератор MATARI MB30, трьохфазний, електростартер, потужність KW/KVA 30/38, 380*220В 50Гц</t>
  </si>
  <si>
    <t>Електрогенераторна установка Edon PT3000, 220В, 2,8/3кВт, бак 15л, 37 кг</t>
  </si>
  <si>
    <t>Машина затирочна Masalta MT 24-2</t>
  </si>
  <si>
    <t>Мобільний телефон Apple iPhone 15 Pro Max 512GB Black Titanium</t>
  </si>
  <si>
    <t>Монтажно-тяговий механізм LIFTEC 5.4т 20м</t>
  </si>
  <si>
    <t>Ноутбук Acer Aspire 3 А317-53 (NX/.AD0EU.00E)Silver</t>
  </si>
  <si>
    <t>Ноутбук ASUS Vivobook S 15 K3502ZA-BQ409 (90NB0WK2-M00NE0)</t>
  </si>
  <si>
    <t>Ноутбук ASUS Vsvobook 17 X1704ZA- AU010 (90NB10F1-M000A0)</t>
  </si>
  <si>
    <t>Ноутбук ASUS Vsvobook 17X M3704 YA-AU036</t>
  </si>
  <si>
    <t>Ноутбук DELL Inspiron 17 3793</t>
  </si>
  <si>
    <t>Ноутбук HP 250 G 7</t>
  </si>
  <si>
    <t>Пневмонагнітач, виробник Ulzner, модель Е 260 Е-LS, № шассі W09260118DSU01659, рік вип. 2013</t>
  </si>
  <si>
    <t>Пристрій для вирівнювання проволоки та полоси(9 роликів)</t>
  </si>
  <si>
    <t>ПУВВ (15Квт)+Иглофильтр</t>
  </si>
  <si>
    <t>Радіостанція Motorola DP4801E</t>
  </si>
  <si>
    <t>Розмотувальний пристрій для пасм</t>
  </si>
  <si>
    <t>Ротаційний лазерний нівелір NL540 G Digital Nivel System</t>
  </si>
  <si>
    <t>Шліфувально-затірочна машина BMS</t>
  </si>
  <si>
    <t>Разом</t>
  </si>
  <si>
    <t>Зварювальний інверторний апарат Paton PRO-500-400V</t>
  </si>
  <si>
    <t>Агрегат опрессовочный П-100МБ</t>
  </si>
  <si>
    <t>Верстат каменерізний Zipper ZI-STM350C</t>
  </si>
  <si>
    <t>Електричний верстат для різання труб PC116</t>
  </si>
  <si>
    <t>Універсальний зварювальний випрямляч інверторного типу ВДУ – 500</t>
  </si>
  <si>
    <t xml:space="preserve">ЛЕБЕДКА ЛМ-8 </t>
  </si>
  <si>
    <t xml:space="preserve"> Чотирьохвалкові вальці | 4 валкова листогибочна машина/ ВЕМ 550х3П / ВЕМ 2050х3П PsTech</t>
  </si>
  <si>
    <t xml:space="preserve">Зварювальний трансформатор СТШ-315СГД
</t>
  </si>
  <si>
    <t xml:space="preserve">Вантажно-пасажирській щогловий Geda 500Z/ZP   </t>
  </si>
  <si>
    <t>Підйомник гідравлічний висота до 10м</t>
  </si>
  <si>
    <t>Консольний підйомник,15м</t>
  </si>
  <si>
    <t xml:space="preserve">Підйомник арковий, підйом 3,5-15м
</t>
  </si>
  <si>
    <t xml:space="preserve">Щогловий підйомник </t>
  </si>
  <si>
    <t>Гідравлічний прес з електроприводом. зусилля 100 тонн</t>
  </si>
  <si>
    <t>Листозгинальний верстат сегментний STILER W 1,5 x 1220</t>
  </si>
  <si>
    <t xml:space="preserve">Прес-ножиці HKM 40
</t>
  </si>
  <si>
    <t>Розчинонасос СО-50</t>
  </si>
  <si>
    <t xml:space="preserve">Пневмонагнетатель С0-242
</t>
  </si>
  <si>
    <t>Установка алмазного буріння по бетону Bass Polska 7753</t>
  </si>
  <si>
    <t>Апарат аргонно-дугового зварювання Edon PULSE TIG-350 ACDC</t>
  </si>
  <si>
    <t xml:space="preserve">Установка алмазного буріння Eibenstock DBE 162. </t>
  </si>
  <si>
    <t>Індукційний нагрівач MAGNUM POWER HEATER 2 KVA</t>
  </si>
  <si>
    <t>Домкрат гідравлічний ABLE 25т</t>
  </si>
  <si>
    <t>Лебідка електрична KCD</t>
  </si>
  <si>
    <t>Лебідка електрична Husar BST 8500 Lbs - 3856 кг 12 В Synthetic</t>
  </si>
  <si>
    <t>Електрифікована самопідйомна люлька ЛСЭ-35-500</t>
  </si>
  <si>
    <t>Самопідйомна люлька одномісна типу ЛОС-80-120</t>
  </si>
  <si>
    <t>Паркетошліфувальна машина Holzmann PSM 2</t>
  </si>
  <si>
    <t>Мозаїчно - шліфувальні машини СО-199</t>
  </si>
  <si>
    <t>Ножиці гільйотинні Holzmann TBS 1050PRO</t>
  </si>
  <si>
    <t xml:space="preserve">Пила маятниковая торцовочная VIRUTEX TS73C </t>
  </si>
  <si>
    <t>Зварювальний генератор GenSet MPM 16/400 SS-Y трифазний 16 kVA</t>
  </si>
  <si>
    <t xml:space="preserve">Індукційна установка MAGNUM POWER HEATER 2kVA 
</t>
  </si>
  <si>
    <t>Верстат трубозгинальний ТГР-ЗА</t>
  </si>
  <si>
    <t>Дизельный генератор Hertz HG 75 RS</t>
  </si>
  <si>
    <t xml:space="preserve">Прес механічний кривошипний простої дії
</t>
  </si>
  <si>
    <t xml:space="preserve">Випробувальний електрогідропрес RIDGID 1460-E 115, </t>
  </si>
  <si>
    <t xml:space="preserve">Кран навантажувально-розвантажувальний "Піонер" </t>
  </si>
  <si>
    <t>Зварювальний бензиновий генератор SDMO Weldarc 300 TE XL</t>
  </si>
  <si>
    <t>Розчинонасос СО-49</t>
  </si>
  <si>
    <t xml:space="preserve">Насосна станція ЕШ-2 MHI405 </t>
  </si>
  <si>
    <t>Щітка дорожня SDG-250К</t>
  </si>
  <si>
    <t>Лебідка електрична Come-up Seal Gen2 12,5s - 12 вольт / 5670 кг - 12500 lb</t>
  </si>
  <si>
    <t>Гудронатор ручний BS-200/TICAB Bitumen emulsion sprayer BS-200</t>
  </si>
  <si>
    <t>Котел бітумний, електричний 1 м3</t>
  </si>
  <si>
    <t xml:space="preserve">Оборотно-сальдова відомість по рахунку 104 за Січень 2026 р. </t>
  </si>
  <si>
    <t>Установка для продавливания труб (УБПТ)</t>
  </si>
  <si>
    <t>Штукатурна станція Epro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</si>
</sst>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9"/>
      <color rgb="FF003F2F"/>
      <name val="Arial"/>
      <family val="2"/>
      <charset val="204"/>
    </font>
    <font>
      <sz val="8"/>
      <color rgb="FF003F2F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righ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right" vertical="top" wrapText="1"/>
    </xf>
    <xf numFmtId="0" fontId="4" fillId="3" borderId="7" xfId="0" applyFont="1" applyFill="1" applyBorder="1" applyAlignment="1">
      <alignment horizontal="right" vertical="top" wrapText="1"/>
    </xf>
    <xf numFmtId="4" fontId="4" fillId="3" borderId="8" xfId="0" applyNumberFormat="1" applyFont="1" applyFill="1" applyBorder="1" applyAlignment="1">
      <alignment horizontal="right" vertical="top" wrapText="1"/>
    </xf>
    <xf numFmtId="4" fontId="6" fillId="4" borderId="8" xfId="0" applyNumberFormat="1" applyFont="1" applyFill="1" applyBorder="1" applyAlignment="1">
      <alignment horizontal="right" vertical="top" wrapText="1"/>
    </xf>
    <xf numFmtId="0" fontId="6" fillId="4" borderId="8" xfId="0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right" vertical="top" wrapText="1"/>
    </xf>
    <xf numFmtId="0" fontId="6" fillId="4" borderId="7" xfId="0" applyFont="1" applyFill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4" fontId="0" fillId="0" borderId="8" xfId="0" applyNumberFormat="1" applyFill="1" applyBorder="1" applyAlignment="1">
      <alignment horizontal="right" vertical="top" wrapText="1"/>
    </xf>
    <xf numFmtId="0" fontId="0" fillId="0" borderId="8" xfId="0" applyFill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 indent="3"/>
    </xf>
    <xf numFmtId="0" fontId="3" fillId="0" borderId="8" xfId="0" applyFont="1" applyFill="1" applyBorder="1" applyAlignment="1">
      <alignment horizontal="left" vertical="top" wrapText="1" indent="3"/>
    </xf>
    <xf numFmtId="0" fontId="7" fillId="0" borderId="8" xfId="0" applyFont="1" applyFill="1" applyBorder="1" applyAlignment="1">
      <alignment horizontal="left" vertical="top" wrapText="1" indent="3"/>
    </xf>
    <xf numFmtId="0" fontId="0" fillId="0" borderId="8" xfId="0" applyFont="1" applyFill="1" applyBorder="1" applyAlignment="1">
      <alignment horizontal="left" vertical="top" wrapText="1" indent="3"/>
    </xf>
    <xf numFmtId="0" fontId="0" fillId="0" borderId="8" xfId="0" applyFont="1" applyBorder="1" applyAlignment="1">
      <alignment horizontal="left" vertical="top" wrapText="1" indent="3"/>
    </xf>
    <xf numFmtId="0" fontId="4" fillId="2" borderId="1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 wrapText="1" indent="1"/>
    </xf>
    <xf numFmtId="0" fontId="6" fillId="4" borderId="8" xfId="0" applyFont="1" applyFill="1" applyBorder="1" applyAlignment="1">
      <alignment horizontal="left" vertical="top" wrapText="1" indent="2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left" vertical="top" wrapText="1" indent="3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95"/>
  <sheetViews>
    <sheetView tabSelected="1" topLeftCell="A91" zoomScale="141" zoomScaleNormal="141" workbookViewId="0">
      <selection activeCell="F97" sqref="F97"/>
    </sheetView>
  </sheetViews>
  <sheetFormatPr defaultColWidth="10.42578125" defaultRowHeight="11.45" customHeight="1" outlineLevelRow="3" x14ac:dyDescent="0.2"/>
  <cols>
    <col min="1" max="1" width="18.7109375" style="1" customWidth="1"/>
    <col min="2" max="2" width="19" style="1" customWidth="1"/>
    <col min="3" max="7" width="18.7109375" style="1" customWidth="1"/>
    <col min="8" max="8" width="1.7109375" style="1" customWidth="1"/>
    <col min="9" max="9" width="17" style="1" customWidth="1"/>
  </cols>
  <sheetData>
    <row r="1" spans="1:9" ht="13.1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9" ht="16.3" customHeight="1" x14ac:dyDescent="0.25">
      <c r="A2" s="33" t="s">
        <v>89</v>
      </c>
      <c r="B2" s="33"/>
      <c r="C2" s="33"/>
      <c r="D2" s="33"/>
      <c r="E2" s="33"/>
      <c r="F2" s="33"/>
      <c r="G2" s="33"/>
      <c r="H2" s="33"/>
    </row>
    <row r="3" spans="1:9" s="1" customFormat="1" ht="1.9" customHeight="1" x14ac:dyDescent="0.2"/>
    <row r="4" spans="1:9" ht="11" customHeight="1" x14ac:dyDescent="0.2">
      <c r="A4" s="2" t="s">
        <v>1</v>
      </c>
      <c r="B4" s="34" t="s">
        <v>2</v>
      </c>
      <c r="C4" s="34"/>
      <c r="D4" s="34"/>
      <c r="E4" s="34"/>
      <c r="F4" s="34"/>
      <c r="G4" s="34"/>
      <c r="H4" s="34"/>
    </row>
    <row r="5" spans="1:9" s="1" customFormat="1" ht="1.9" customHeight="1" x14ac:dyDescent="0.2"/>
    <row r="6" spans="1:9" ht="13.15" customHeight="1" x14ac:dyDescent="0.2">
      <c r="A6" s="35" t="s">
        <v>3</v>
      </c>
      <c r="B6" s="35"/>
      <c r="C6" s="36" t="s">
        <v>4</v>
      </c>
      <c r="D6" s="36"/>
      <c r="E6" s="37" t="s">
        <v>5</v>
      </c>
      <c r="F6" s="37"/>
      <c r="G6" s="36" t="s">
        <v>6</v>
      </c>
      <c r="H6" s="36"/>
      <c r="I6" s="36"/>
    </row>
    <row r="7" spans="1:9" ht="13.15" customHeight="1" x14ac:dyDescent="0.2">
      <c r="A7" s="35" t="s">
        <v>7</v>
      </c>
      <c r="B7" s="35"/>
      <c r="C7" s="39" t="s">
        <v>8</v>
      </c>
      <c r="D7" s="39" t="s">
        <v>9</v>
      </c>
      <c r="E7" s="39" t="s">
        <v>8</v>
      </c>
      <c r="F7" s="39" t="s">
        <v>9</v>
      </c>
      <c r="G7" s="39" t="s">
        <v>8</v>
      </c>
      <c r="H7" s="39" t="s">
        <v>9</v>
      </c>
      <c r="I7" s="39"/>
    </row>
    <row r="8" spans="1:9" ht="13.15" customHeight="1" x14ac:dyDescent="0.2">
      <c r="A8" s="35" t="s">
        <v>10</v>
      </c>
      <c r="B8" s="35"/>
      <c r="C8" s="40"/>
      <c r="D8" s="40"/>
      <c r="E8" s="40"/>
      <c r="F8" s="40"/>
      <c r="G8" s="40"/>
      <c r="H8" s="41"/>
      <c r="I8" s="42"/>
    </row>
    <row r="9" spans="1:9" ht="13.15" customHeight="1" x14ac:dyDescent="0.2">
      <c r="A9" s="3"/>
      <c r="B9" s="4"/>
      <c r="C9" s="5"/>
      <c r="D9" s="5"/>
      <c r="E9" s="6"/>
      <c r="F9" s="6"/>
      <c r="G9" s="5"/>
      <c r="H9" s="7"/>
      <c r="I9" s="8"/>
    </row>
    <row r="10" spans="1:9" ht="13.15" customHeight="1" outlineLevel="1" x14ac:dyDescent="0.2">
      <c r="A10" s="30" t="s">
        <v>12</v>
      </c>
      <c r="B10" s="30"/>
      <c r="C10" s="9">
        <f>C95</f>
        <v>6049475.036666669</v>
      </c>
      <c r="D10" s="5"/>
      <c r="E10" s="9"/>
      <c r="F10" s="5"/>
      <c r="G10" s="9">
        <f>G95</f>
        <v>6049475.036666669</v>
      </c>
      <c r="H10" s="7"/>
      <c r="I10" s="8"/>
    </row>
    <row r="11" spans="1:9" ht="11" customHeight="1" outlineLevel="2" x14ac:dyDescent="0.2">
      <c r="A11" s="31" t="s">
        <v>11</v>
      </c>
      <c r="B11" s="31"/>
      <c r="C11" s="10">
        <f>SUM(C12:C94)</f>
        <v>6049475.036666669</v>
      </c>
      <c r="D11" s="11"/>
      <c r="E11" s="10"/>
      <c r="F11" s="11"/>
      <c r="G11" s="10">
        <f>SUM(G12:G94)</f>
        <v>6049475.036666669</v>
      </c>
      <c r="H11" s="12"/>
      <c r="I11" s="13"/>
    </row>
    <row r="12" spans="1:9" ht="33.049999999999997" customHeight="1" outlineLevel="3" x14ac:dyDescent="0.2">
      <c r="A12" s="24" t="s">
        <v>13</v>
      </c>
      <c r="B12" s="24"/>
      <c r="C12" s="14">
        <v>295119</v>
      </c>
      <c r="D12" s="15"/>
      <c r="E12" s="15"/>
      <c r="F12" s="15"/>
      <c r="G12" s="14">
        <v>295119</v>
      </c>
      <c r="H12" s="16"/>
      <c r="I12" s="17"/>
    </row>
    <row r="13" spans="1:9" ht="33.049999999999997" customHeight="1" outlineLevel="3" x14ac:dyDescent="0.2">
      <c r="A13" s="24" t="s">
        <v>87</v>
      </c>
      <c r="B13" s="24"/>
      <c r="C13" s="14">
        <v>95000</v>
      </c>
      <c r="D13" s="15"/>
      <c r="E13" s="15"/>
      <c r="F13" s="15"/>
      <c r="G13" s="14">
        <v>95000</v>
      </c>
      <c r="H13" s="16"/>
      <c r="I13" s="17"/>
    </row>
    <row r="14" spans="1:9" ht="23.5" customHeight="1" outlineLevel="3" x14ac:dyDescent="0.2">
      <c r="A14" s="28" t="s">
        <v>45</v>
      </c>
      <c r="B14" s="24"/>
      <c r="C14" s="14">
        <f>45000/1.2</f>
        <v>37500</v>
      </c>
      <c r="D14" s="15"/>
      <c r="E14" s="15"/>
      <c r="F14" s="15"/>
      <c r="G14" s="14">
        <f>45000/1.2</f>
        <v>37500</v>
      </c>
      <c r="H14" s="16"/>
      <c r="I14" s="17"/>
    </row>
    <row r="15" spans="1:9" ht="22.25" customHeight="1" outlineLevel="3" x14ac:dyDescent="0.2">
      <c r="A15" s="24" t="s">
        <v>14</v>
      </c>
      <c r="B15" s="24"/>
      <c r="C15" s="14">
        <v>45250</v>
      </c>
      <c r="D15" s="15"/>
      <c r="E15" s="15"/>
      <c r="F15" s="15"/>
      <c r="G15" s="14">
        <v>45250</v>
      </c>
      <c r="H15" s="16"/>
      <c r="I15" s="17"/>
    </row>
    <row r="16" spans="1:9" ht="22.25" customHeight="1" outlineLevel="3" x14ac:dyDescent="0.2">
      <c r="A16" s="38" t="s">
        <v>63</v>
      </c>
      <c r="B16" s="24"/>
      <c r="C16" s="14">
        <f>30900/1.2</f>
        <v>25750</v>
      </c>
      <c r="D16" s="15"/>
      <c r="E16" s="15"/>
      <c r="F16" s="15"/>
      <c r="G16" s="14">
        <f>C16</f>
        <v>25750</v>
      </c>
      <c r="H16" s="16"/>
      <c r="I16" s="17"/>
    </row>
    <row r="17" spans="1:9" ht="44" customHeight="1" outlineLevel="3" x14ac:dyDescent="0.2">
      <c r="A17" s="24" t="s">
        <v>15</v>
      </c>
      <c r="B17" s="24"/>
      <c r="C17" s="14">
        <v>42500</v>
      </c>
      <c r="D17" s="15"/>
      <c r="E17" s="15"/>
      <c r="F17" s="15"/>
      <c r="G17" s="14">
        <v>42500</v>
      </c>
      <c r="H17" s="16"/>
      <c r="I17" s="17"/>
    </row>
    <row r="18" spans="1:9" ht="33.049999999999997" customHeight="1" outlineLevel="3" x14ac:dyDescent="0.2">
      <c r="A18" s="24" t="s">
        <v>16</v>
      </c>
      <c r="B18" s="24"/>
      <c r="C18" s="14">
        <v>20332.5</v>
      </c>
      <c r="D18" s="15"/>
      <c r="E18" s="15"/>
      <c r="F18" s="15"/>
      <c r="G18" s="14">
        <v>20332.5</v>
      </c>
      <c r="H18" s="16"/>
      <c r="I18" s="17"/>
    </row>
    <row r="19" spans="1:9" ht="11" customHeight="1" outlineLevel="3" x14ac:dyDescent="0.2">
      <c r="A19" s="24" t="s">
        <v>17</v>
      </c>
      <c r="B19" s="24"/>
      <c r="C19" s="14">
        <v>12749.17</v>
      </c>
      <c r="D19" s="15"/>
      <c r="E19" s="15"/>
      <c r="F19" s="15"/>
      <c r="G19" s="14">
        <v>12749.17</v>
      </c>
      <c r="H19" s="16"/>
      <c r="I19" s="17"/>
    </row>
    <row r="20" spans="1:9" ht="11" customHeight="1" outlineLevel="3" x14ac:dyDescent="0.2">
      <c r="A20" s="24" t="s">
        <v>18</v>
      </c>
      <c r="B20" s="24"/>
      <c r="C20" s="14">
        <v>19083.330000000002</v>
      </c>
      <c r="D20" s="15"/>
      <c r="F20" s="15"/>
      <c r="G20" s="14">
        <v>19083.330000000002</v>
      </c>
      <c r="H20" s="16"/>
      <c r="I20" s="17"/>
    </row>
    <row r="21" spans="1:9" ht="22.25" customHeight="1" outlineLevel="3" x14ac:dyDescent="0.2">
      <c r="A21" s="24" t="s">
        <v>19</v>
      </c>
      <c r="B21" s="24"/>
      <c r="C21" s="14">
        <v>19811.650000000001</v>
      </c>
      <c r="D21" s="15"/>
      <c r="E21" s="15"/>
      <c r="F21" s="15"/>
      <c r="G21" s="14">
        <v>19811.650000000001</v>
      </c>
      <c r="H21" s="16"/>
      <c r="I21" s="17"/>
    </row>
    <row r="22" spans="1:9" ht="22.25" customHeight="1" outlineLevel="3" x14ac:dyDescent="0.2">
      <c r="A22" s="28" t="s">
        <v>52</v>
      </c>
      <c r="B22" s="24"/>
      <c r="C22" s="14">
        <f>122500/1.2</f>
        <v>102083.33333333334</v>
      </c>
      <c r="D22" s="15"/>
      <c r="E22" s="15"/>
      <c r="F22" s="15"/>
      <c r="G22" s="14">
        <f>C22</f>
        <v>102083.33333333334</v>
      </c>
      <c r="H22" s="16"/>
      <c r="I22" s="17"/>
    </row>
    <row r="23" spans="1:9" ht="44" customHeight="1" outlineLevel="3" x14ac:dyDescent="0.2">
      <c r="A23" s="24" t="s">
        <v>20</v>
      </c>
      <c r="B23" s="24"/>
      <c r="C23" s="14">
        <v>30000</v>
      </c>
      <c r="D23" s="15"/>
      <c r="E23" s="15"/>
      <c r="F23" s="15"/>
      <c r="G23" s="14">
        <v>30000</v>
      </c>
      <c r="H23" s="16"/>
      <c r="I23" s="17"/>
    </row>
    <row r="24" spans="1:9" ht="30.05" customHeight="1" outlineLevel="3" x14ac:dyDescent="0.2">
      <c r="A24" s="27" t="s">
        <v>77</v>
      </c>
      <c r="B24" s="25"/>
      <c r="C24" s="22">
        <v>68677</v>
      </c>
      <c r="D24" s="23"/>
      <c r="E24" s="23"/>
      <c r="F24" s="23"/>
      <c r="G24" s="22">
        <v>68677</v>
      </c>
      <c r="H24" s="16"/>
      <c r="I24" s="17"/>
    </row>
    <row r="25" spans="1:9" ht="30.05" customHeight="1" outlineLevel="3" x14ac:dyDescent="0.2">
      <c r="A25" s="28" t="s">
        <v>46</v>
      </c>
      <c r="B25" s="24"/>
      <c r="C25" s="14">
        <f>41000/1.2</f>
        <v>34166.666666666672</v>
      </c>
      <c r="D25" s="15"/>
      <c r="E25" s="15"/>
      <c r="F25" s="15"/>
      <c r="G25" s="14">
        <f>C25</f>
        <v>34166.666666666672</v>
      </c>
      <c r="H25" s="16"/>
    </row>
    <row r="26" spans="1:9" ht="44" customHeight="1" outlineLevel="3" x14ac:dyDescent="0.2">
      <c r="A26" s="38" t="s">
        <v>80</v>
      </c>
      <c r="B26" s="24"/>
      <c r="C26" s="14">
        <f>82334/1.2</f>
        <v>68611.666666666672</v>
      </c>
      <c r="D26" s="15"/>
      <c r="E26" s="15"/>
      <c r="F26" s="15"/>
      <c r="G26" s="14">
        <f t="shared" ref="G26" si="0">C26</f>
        <v>68611.666666666672</v>
      </c>
      <c r="H26" s="16"/>
      <c r="I26" s="17"/>
    </row>
    <row r="27" spans="1:9" ht="22.25" customHeight="1" outlineLevel="3" x14ac:dyDescent="0.2">
      <c r="A27" s="28" t="s">
        <v>21</v>
      </c>
      <c r="B27" s="24"/>
      <c r="C27" s="14">
        <v>34162.5</v>
      </c>
      <c r="D27" s="15"/>
      <c r="E27" s="15"/>
      <c r="F27" s="15"/>
      <c r="G27" s="14">
        <v>34162.5</v>
      </c>
      <c r="H27" s="16"/>
      <c r="I27" s="17"/>
    </row>
    <row r="28" spans="1:9" ht="22.25" customHeight="1" outlineLevel="3" x14ac:dyDescent="0.2">
      <c r="A28" s="28" t="s">
        <v>22</v>
      </c>
      <c r="B28" s="24"/>
      <c r="C28" s="14">
        <v>19125</v>
      </c>
      <c r="D28" s="15"/>
      <c r="E28" s="15"/>
      <c r="F28" s="15"/>
      <c r="G28" s="14">
        <v>19125</v>
      </c>
      <c r="H28" s="16"/>
      <c r="I28" s="17"/>
    </row>
    <row r="29" spans="1:9" ht="22.25" customHeight="1" outlineLevel="3" x14ac:dyDescent="0.2">
      <c r="A29" s="24" t="s">
        <v>22</v>
      </c>
      <c r="B29" s="24"/>
      <c r="C29" s="14">
        <v>19125</v>
      </c>
      <c r="D29" s="15"/>
      <c r="E29" s="15"/>
      <c r="F29" s="15"/>
      <c r="G29" s="14">
        <v>19125</v>
      </c>
      <c r="H29" s="16"/>
      <c r="I29" s="17"/>
    </row>
    <row r="30" spans="1:9" ht="22.25" customHeight="1" outlineLevel="3" x14ac:dyDescent="0.2">
      <c r="A30" s="28" t="s">
        <v>57</v>
      </c>
      <c r="B30" s="24"/>
      <c r="C30" s="14">
        <f>41000/1.2</f>
        <v>34166.666666666672</v>
      </c>
      <c r="D30" s="15"/>
      <c r="E30" s="15"/>
      <c r="F30" s="15"/>
      <c r="G30" s="14">
        <f>C30</f>
        <v>34166.666666666672</v>
      </c>
      <c r="H30" s="16"/>
      <c r="I30" s="17"/>
    </row>
    <row r="31" spans="1:9" ht="11" customHeight="1" outlineLevel="3" x14ac:dyDescent="0.2">
      <c r="A31" s="24" t="s">
        <v>23</v>
      </c>
      <c r="B31" s="24"/>
      <c r="C31" s="14">
        <v>21250</v>
      </c>
      <c r="D31" s="15"/>
      <c r="E31" s="15"/>
      <c r="F31" s="15"/>
      <c r="G31" s="14">
        <v>21250</v>
      </c>
      <c r="H31" s="16"/>
      <c r="I31" s="17"/>
    </row>
    <row r="32" spans="1:9" ht="11" customHeight="1" outlineLevel="3" x14ac:dyDescent="0.2">
      <c r="A32" s="24" t="s">
        <v>24</v>
      </c>
      <c r="B32" s="24"/>
      <c r="C32" s="14">
        <v>21900</v>
      </c>
      <c r="D32" s="15"/>
      <c r="E32" s="14"/>
      <c r="F32" s="15"/>
      <c r="G32" s="14">
        <v>21900</v>
      </c>
      <c r="H32" s="16"/>
      <c r="I32" s="17"/>
    </row>
    <row r="33" spans="1:9" ht="44" customHeight="1" outlineLevel="3" x14ac:dyDescent="0.2">
      <c r="A33" s="28" t="s">
        <v>25</v>
      </c>
      <c r="B33" s="24"/>
      <c r="C33" s="14">
        <v>358333.33</v>
      </c>
      <c r="D33" s="15"/>
      <c r="E33" s="15"/>
      <c r="F33" s="15"/>
      <c r="G33" s="14">
        <v>358333.33</v>
      </c>
      <c r="H33" s="16"/>
      <c r="I33" s="17"/>
    </row>
    <row r="34" spans="1:9" ht="44" customHeight="1" outlineLevel="3" x14ac:dyDescent="0.2">
      <c r="A34" s="24" t="s">
        <v>25</v>
      </c>
      <c r="B34" s="24"/>
      <c r="C34" s="14">
        <v>66666.67</v>
      </c>
      <c r="D34" s="15"/>
      <c r="E34" s="15"/>
      <c r="F34" s="15"/>
      <c r="G34" s="14">
        <v>66666.67</v>
      </c>
      <c r="H34" s="16"/>
    </row>
    <row r="35" spans="1:9" ht="10.65" outlineLevel="3" x14ac:dyDescent="0.2">
      <c r="A35" s="28" t="s">
        <v>78</v>
      </c>
      <c r="B35" s="24"/>
      <c r="C35" s="14">
        <v>256000</v>
      </c>
      <c r="D35" s="15"/>
      <c r="E35" s="15"/>
      <c r="F35" s="15"/>
      <c r="G35" s="14">
        <v>256000</v>
      </c>
      <c r="H35" s="16"/>
      <c r="I35" s="17"/>
    </row>
    <row r="36" spans="1:9" ht="19.25" customHeight="1" outlineLevel="3" x14ac:dyDescent="0.2">
      <c r="A36" s="28" t="s">
        <v>66</v>
      </c>
      <c r="B36" s="24"/>
      <c r="C36" s="14">
        <f>69060/1.2</f>
        <v>57550</v>
      </c>
      <c r="D36" s="15"/>
      <c r="E36" s="15"/>
      <c r="F36" s="15"/>
      <c r="G36" s="14">
        <f>C36</f>
        <v>57550</v>
      </c>
      <c r="H36" s="16"/>
      <c r="I36" s="17"/>
    </row>
    <row r="37" spans="1:9" ht="29" customHeight="1" outlineLevel="3" x14ac:dyDescent="0.2">
      <c r="A37" s="28" t="s">
        <v>47</v>
      </c>
      <c r="B37" s="24"/>
      <c r="C37" s="14">
        <f>121000/1.2</f>
        <v>100833.33333333334</v>
      </c>
      <c r="D37" s="15"/>
      <c r="E37" s="15"/>
      <c r="F37" s="15"/>
      <c r="G37" s="14">
        <f>C37</f>
        <v>100833.33333333334</v>
      </c>
      <c r="H37" s="16"/>
      <c r="I37" s="17"/>
    </row>
    <row r="38" spans="1:9" ht="33.049999999999997" customHeight="1" outlineLevel="3" x14ac:dyDescent="0.2">
      <c r="A38" s="24" t="s">
        <v>26</v>
      </c>
      <c r="B38" s="24"/>
      <c r="C38" s="14">
        <v>21850</v>
      </c>
      <c r="D38" s="15"/>
      <c r="E38" s="15"/>
      <c r="F38" s="15"/>
      <c r="G38" s="14">
        <v>21850</v>
      </c>
      <c r="H38" s="16"/>
    </row>
    <row r="39" spans="1:9" ht="33.049999999999997" customHeight="1" outlineLevel="3" x14ac:dyDescent="0.2">
      <c r="A39" s="28" t="s">
        <v>69</v>
      </c>
      <c r="B39" s="24"/>
      <c r="C39" s="14">
        <f>33333/1.2</f>
        <v>27777.5</v>
      </c>
      <c r="D39" s="15"/>
      <c r="E39" s="15"/>
      <c r="F39" s="15"/>
      <c r="G39" s="14">
        <f>C39</f>
        <v>27777.5</v>
      </c>
      <c r="H39" s="16"/>
      <c r="I39" s="17"/>
    </row>
    <row r="40" spans="1:9" ht="24.6" customHeight="1" outlineLevel="3" x14ac:dyDescent="0.2">
      <c r="A40" s="28" t="s">
        <v>65</v>
      </c>
      <c r="B40" s="24"/>
      <c r="C40" s="14">
        <f>37290/1.2</f>
        <v>31075</v>
      </c>
      <c r="D40" s="15"/>
      <c r="E40" s="15"/>
      <c r="F40" s="15"/>
      <c r="G40" s="14">
        <f>C40</f>
        <v>31075</v>
      </c>
      <c r="H40" s="16"/>
      <c r="I40" s="17"/>
    </row>
    <row r="41" spans="1:9" ht="24.6" customHeight="1" outlineLevel="3" x14ac:dyDescent="0.2">
      <c r="A41" s="27" t="s">
        <v>82</v>
      </c>
      <c r="B41" s="25"/>
      <c r="C41" s="14">
        <v>269166.67</v>
      </c>
      <c r="D41" s="15"/>
      <c r="E41" s="15"/>
      <c r="F41" s="15"/>
      <c r="G41" s="14">
        <v>269166.67</v>
      </c>
      <c r="H41" s="16"/>
      <c r="I41" s="17"/>
    </row>
    <row r="42" spans="1:9" ht="31.15" customHeight="1" outlineLevel="3" x14ac:dyDescent="0.2">
      <c r="A42" s="27" t="s">
        <v>75</v>
      </c>
      <c r="B42" s="25"/>
      <c r="C42" s="22">
        <v>198000</v>
      </c>
      <c r="D42" s="23"/>
      <c r="E42" s="23"/>
      <c r="F42" s="23"/>
      <c r="G42" s="22">
        <f t="shared" ref="G42:G43" si="1">C42</f>
        <v>198000</v>
      </c>
      <c r="H42" s="16"/>
      <c r="I42" s="17"/>
    </row>
    <row r="43" spans="1:9" ht="31.15" customHeight="1" outlineLevel="3" x14ac:dyDescent="0.2">
      <c r="A43" s="27" t="s">
        <v>75</v>
      </c>
      <c r="B43" s="25"/>
      <c r="C43" s="22">
        <v>198000</v>
      </c>
      <c r="D43" s="23"/>
      <c r="E43" s="23"/>
      <c r="F43" s="23"/>
      <c r="G43" s="22">
        <f t="shared" si="1"/>
        <v>198000</v>
      </c>
      <c r="H43" s="16"/>
      <c r="I43" s="17"/>
    </row>
    <row r="44" spans="1:9" ht="26" customHeight="1" outlineLevel="3" x14ac:dyDescent="0.2">
      <c r="A44" s="27" t="s">
        <v>44</v>
      </c>
      <c r="B44" s="25"/>
      <c r="C44" s="22">
        <f>69999/1.2</f>
        <v>58332.5</v>
      </c>
      <c r="D44" s="23"/>
      <c r="E44" s="23"/>
      <c r="F44" s="23"/>
      <c r="G44" s="22">
        <f>69999/1.2</f>
        <v>58332.5</v>
      </c>
      <c r="H44" s="16"/>
      <c r="I44" s="17"/>
    </row>
    <row r="45" spans="1:9" ht="26" customHeight="1" outlineLevel="3" x14ac:dyDescent="0.2">
      <c r="A45" s="27" t="s">
        <v>51</v>
      </c>
      <c r="B45" s="25"/>
      <c r="C45" s="22">
        <f>33100/1.2</f>
        <v>27583.333333333336</v>
      </c>
      <c r="D45" s="23"/>
      <c r="E45" s="23"/>
      <c r="F45" s="23"/>
      <c r="G45" s="22">
        <f t="shared" ref="G45:G52" si="2">C45</f>
        <v>27583.333333333336</v>
      </c>
      <c r="H45" s="16"/>
      <c r="I45" s="17"/>
    </row>
    <row r="46" spans="1:9" ht="26" customHeight="1" outlineLevel="3" x14ac:dyDescent="0.2">
      <c r="A46" s="27" t="s">
        <v>51</v>
      </c>
      <c r="B46" s="25"/>
      <c r="C46" s="22">
        <f>32000/1.2</f>
        <v>26666.666666666668</v>
      </c>
      <c r="D46" s="23"/>
      <c r="E46" s="23"/>
      <c r="F46" s="23"/>
      <c r="G46" s="22">
        <f t="shared" si="2"/>
        <v>26666.666666666668</v>
      </c>
      <c r="H46" s="16"/>
    </row>
    <row r="47" spans="1:9" ht="26" customHeight="1" outlineLevel="3" x14ac:dyDescent="0.2">
      <c r="A47" s="27" t="s">
        <v>76</v>
      </c>
      <c r="B47" s="25"/>
      <c r="C47" s="22">
        <v>22916.67</v>
      </c>
      <c r="D47" s="23"/>
      <c r="E47" s="23"/>
      <c r="F47" s="23"/>
      <c r="G47" s="22">
        <f t="shared" si="2"/>
        <v>22916.67</v>
      </c>
      <c r="H47" s="16"/>
      <c r="I47" s="17"/>
    </row>
    <row r="48" spans="1:9" ht="26" customHeight="1" outlineLevel="3" x14ac:dyDescent="0.2">
      <c r="A48" s="25" t="s">
        <v>88</v>
      </c>
      <c r="B48" s="25"/>
      <c r="C48" s="22">
        <v>650000</v>
      </c>
      <c r="D48" s="23"/>
      <c r="E48" s="23"/>
      <c r="F48" s="23"/>
      <c r="G48" s="22">
        <v>650000</v>
      </c>
      <c r="H48" s="16"/>
      <c r="I48" s="17"/>
    </row>
    <row r="49" spans="1:9" ht="18.649999999999999" customHeight="1" outlineLevel="3" x14ac:dyDescent="0.2">
      <c r="A49" s="27" t="s">
        <v>54</v>
      </c>
      <c r="B49" s="25"/>
      <c r="C49" s="22">
        <f>112000/1.2</f>
        <v>93333.333333333343</v>
      </c>
      <c r="D49" s="23"/>
      <c r="E49" s="23"/>
      <c r="F49" s="23"/>
      <c r="G49" s="22">
        <f t="shared" si="2"/>
        <v>93333.333333333343</v>
      </c>
      <c r="H49" s="16"/>
      <c r="I49" s="17"/>
    </row>
    <row r="50" spans="1:9" ht="26" customHeight="1" outlineLevel="3" x14ac:dyDescent="0.2">
      <c r="A50" s="27" t="s">
        <v>81</v>
      </c>
      <c r="B50" s="25"/>
      <c r="C50" s="22">
        <v>55000</v>
      </c>
      <c r="D50" s="23"/>
      <c r="E50" s="23"/>
      <c r="F50" s="23"/>
      <c r="G50" s="22">
        <v>55000</v>
      </c>
      <c r="H50" s="16"/>
      <c r="I50" s="17"/>
    </row>
    <row r="51" spans="1:9" ht="34.9" customHeight="1" outlineLevel="3" x14ac:dyDescent="0.2">
      <c r="A51" s="25" t="s">
        <v>86</v>
      </c>
      <c r="B51" s="25"/>
      <c r="C51" s="22">
        <f>67123/1.2</f>
        <v>55935.833333333336</v>
      </c>
      <c r="D51" s="23"/>
      <c r="E51" s="23"/>
      <c r="F51" s="23"/>
      <c r="G51" s="22">
        <f t="shared" si="2"/>
        <v>55935.833333333336</v>
      </c>
      <c r="H51" s="16"/>
      <c r="I51" s="17"/>
    </row>
    <row r="52" spans="1:9" ht="26" customHeight="1" outlineLevel="3" x14ac:dyDescent="0.2">
      <c r="A52" s="25" t="s">
        <v>49</v>
      </c>
      <c r="B52" s="25"/>
      <c r="C52" s="22">
        <f>44800/1.2</f>
        <v>37333.333333333336</v>
      </c>
      <c r="D52" s="23"/>
      <c r="E52" s="23"/>
      <c r="F52" s="23"/>
      <c r="G52" s="22">
        <f t="shared" si="2"/>
        <v>37333.333333333336</v>
      </c>
      <c r="H52" s="16"/>
      <c r="I52" s="17"/>
    </row>
    <row r="53" spans="1:9" ht="26" customHeight="1" outlineLevel="3" x14ac:dyDescent="0.2">
      <c r="A53" s="25" t="s">
        <v>67</v>
      </c>
      <c r="B53" s="25"/>
      <c r="C53" s="22">
        <f>30100/1.2</f>
        <v>25083.333333333336</v>
      </c>
      <c r="D53" s="23"/>
      <c r="E53" s="23"/>
      <c r="F53" s="23"/>
      <c r="G53" s="22">
        <f t="shared" ref="G53:G54" si="3">C53</f>
        <v>25083.333333333336</v>
      </c>
      <c r="H53" s="16"/>
      <c r="I53" s="17"/>
    </row>
    <row r="54" spans="1:9" ht="26" customHeight="1" outlineLevel="3" x14ac:dyDescent="0.2">
      <c r="A54" s="27" t="s">
        <v>67</v>
      </c>
      <c r="B54" s="25"/>
      <c r="C54" s="22">
        <f>30250/1.2</f>
        <v>25208.333333333336</v>
      </c>
      <c r="D54" s="23"/>
      <c r="E54" s="23"/>
      <c r="F54" s="23"/>
      <c r="G54" s="22">
        <f t="shared" si="3"/>
        <v>25208.333333333336</v>
      </c>
      <c r="H54" s="16"/>
      <c r="I54" s="17"/>
    </row>
    <row r="55" spans="1:9" ht="26" customHeight="1" outlineLevel="3" x14ac:dyDescent="0.2">
      <c r="A55" s="25" t="s">
        <v>68</v>
      </c>
      <c r="B55" s="25"/>
      <c r="C55" s="22">
        <f>26000/1.2</f>
        <v>21666.666666666668</v>
      </c>
      <c r="D55" s="23"/>
      <c r="E55" s="23"/>
      <c r="F55" s="23"/>
      <c r="G55" s="22">
        <f>C55</f>
        <v>21666.666666666668</v>
      </c>
      <c r="H55" s="16"/>
      <c r="I55" s="17"/>
    </row>
    <row r="56" spans="1:9" ht="26" customHeight="1" outlineLevel="3" x14ac:dyDescent="0.2">
      <c r="A56" s="27" t="s">
        <v>58</v>
      </c>
      <c r="B56" s="25"/>
      <c r="C56" s="22">
        <f>47800/1.2</f>
        <v>39833.333333333336</v>
      </c>
      <c r="D56" s="23"/>
      <c r="E56" s="23"/>
      <c r="F56" s="23"/>
      <c r="G56" s="22">
        <f>C56</f>
        <v>39833.333333333336</v>
      </c>
      <c r="H56" s="16"/>
      <c r="I56" s="17"/>
    </row>
    <row r="57" spans="1:9" ht="11" customHeight="1" outlineLevel="3" x14ac:dyDescent="0.2">
      <c r="A57" s="25" t="s">
        <v>27</v>
      </c>
      <c r="B57" s="25"/>
      <c r="C57" s="22">
        <v>33166.67</v>
      </c>
      <c r="D57" s="23"/>
      <c r="E57" s="23"/>
      <c r="F57" s="23"/>
      <c r="G57" s="22">
        <v>33166.67</v>
      </c>
      <c r="H57" s="16"/>
      <c r="I57" s="17"/>
    </row>
    <row r="58" spans="1:9" ht="22.25" customHeight="1" outlineLevel="3" x14ac:dyDescent="0.2">
      <c r="A58" s="27" t="s">
        <v>28</v>
      </c>
      <c r="B58" s="25"/>
      <c r="C58" s="22">
        <v>56665.83</v>
      </c>
      <c r="D58" s="23"/>
      <c r="E58" s="23"/>
      <c r="F58" s="23"/>
      <c r="G58" s="22">
        <v>56665.83</v>
      </c>
      <c r="H58" s="16"/>
      <c r="I58" s="17"/>
    </row>
    <row r="59" spans="1:9" ht="22.25" customHeight="1" outlineLevel="3" x14ac:dyDescent="0.2">
      <c r="A59" s="27" t="s">
        <v>72</v>
      </c>
      <c r="B59" s="25"/>
      <c r="C59" s="22">
        <f>24999/1.2</f>
        <v>20832.5</v>
      </c>
      <c r="D59" s="23"/>
      <c r="E59" s="23"/>
      <c r="F59" s="23"/>
      <c r="G59" s="22">
        <f>C59</f>
        <v>20832.5</v>
      </c>
      <c r="H59" s="16"/>
      <c r="I59" s="17"/>
    </row>
    <row r="60" spans="1:9" ht="22.25" customHeight="1" outlineLevel="3" x14ac:dyDescent="0.2">
      <c r="A60" s="25" t="s">
        <v>29</v>
      </c>
      <c r="B60" s="25"/>
      <c r="C60" s="22">
        <v>25212.78</v>
      </c>
      <c r="D60" s="23"/>
      <c r="E60" s="23"/>
      <c r="F60" s="23"/>
      <c r="G60" s="22">
        <v>25212.78</v>
      </c>
      <c r="H60" s="16"/>
      <c r="I60" s="17"/>
    </row>
    <row r="61" spans="1:9" ht="22.25" customHeight="1" outlineLevel="3" x14ac:dyDescent="0.2">
      <c r="A61" s="27" t="s">
        <v>84</v>
      </c>
      <c r="B61" s="25"/>
      <c r="C61" s="22">
        <v>98000</v>
      </c>
      <c r="D61" s="23"/>
      <c r="E61" s="23"/>
      <c r="F61" s="23"/>
      <c r="G61" s="22">
        <v>98000</v>
      </c>
      <c r="H61" s="16"/>
      <c r="I61" s="17"/>
    </row>
    <row r="62" spans="1:9" ht="22.25" customHeight="1" outlineLevel="3" x14ac:dyDescent="0.2">
      <c r="A62" s="25" t="s">
        <v>73</v>
      </c>
      <c r="B62" s="25"/>
      <c r="C62" s="22">
        <f>69999/1.2</f>
        <v>58332.5</v>
      </c>
      <c r="D62" s="23"/>
      <c r="E62" s="23"/>
      <c r="F62" s="23"/>
      <c r="G62" s="22">
        <f>C62</f>
        <v>58332.5</v>
      </c>
      <c r="H62" s="16"/>
      <c r="I62" s="17"/>
    </row>
    <row r="63" spans="1:9" ht="22.25" customHeight="1" outlineLevel="3" x14ac:dyDescent="0.2">
      <c r="A63" s="25" t="s">
        <v>30</v>
      </c>
      <c r="B63" s="25"/>
      <c r="C63" s="22">
        <v>23332.5</v>
      </c>
      <c r="D63" s="23"/>
      <c r="E63" s="23"/>
      <c r="F63" s="23"/>
      <c r="G63" s="22">
        <v>23332.5</v>
      </c>
      <c r="H63" s="16"/>
      <c r="I63" s="17"/>
    </row>
    <row r="64" spans="1:9" ht="33.049999999999997" customHeight="1" outlineLevel="3" x14ac:dyDescent="0.2">
      <c r="A64" s="25" t="s">
        <v>31</v>
      </c>
      <c r="B64" s="25"/>
      <c r="C64" s="22">
        <v>22082.5</v>
      </c>
      <c r="D64" s="23"/>
      <c r="E64" s="23"/>
      <c r="F64" s="23"/>
      <c r="G64" s="22">
        <v>22082.5</v>
      </c>
      <c r="H64" s="16"/>
      <c r="I64" s="17"/>
    </row>
    <row r="65" spans="1:9" ht="33.049999999999997" customHeight="1" outlineLevel="3" x14ac:dyDescent="0.2">
      <c r="A65" s="25" t="s">
        <v>32</v>
      </c>
      <c r="B65" s="25"/>
      <c r="C65" s="22">
        <v>23332.5</v>
      </c>
      <c r="D65" s="23"/>
      <c r="E65" s="23"/>
      <c r="F65" s="23"/>
      <c r="G65" s="22">
        <v>23332.5</v>
      </c>
      <c r="H65" s="16"/>
      <c r="I65" s="17"/>
    </row>
    <row r="66" spans="1:9" ht="22.25" customHeight="1" outlineLevel="3" x14ac:dyDescent="0.2">
      <c r="A66" s="25" t="s">
        <v>33</v>
      </c>
      <c r="B66" s="25"/>
      <c r="C66" s="22">
        <v>21861.65</v>
      </c>
      <c r="D66" s="23"/>
      <c r="E66" s="23"/>
      <c r="F66" s="23"/>
      <c r="G66" s="22">
        <v>21861.65</v>
      </c>
      <c r="H66" s="16"/>
      <c r="I66" s="17"/>
    </row>
    <row r="67" spans="1:9" ht="11" customHeight="1" outlineLevel="3" x14ac:dyDescent="0.2">
      <c r="A67" s="25" t="s">
        <v>34</v>
      </c>
      <c r="B67" s="25"/>
      <c r="C67" s="22">
        <v>15510.63</v>
      </c>
      <c r="D67" s="23"/>
      <c r="E67" s="23"/>
      <c r="F67" s="23"/>
      <c r="G67" s="22">
        <v>15510.63</v>
      </c>
      <c r="H67" s="16"/>
      <c r="I67" s="17"/>
    </row>
    <row r="68" spans="1:9" ht="11" customHeight="1" outlineLevel="3" x14ac:dyDescent="0.2">
      <c r="A68" s="25" t="s">
        <v>35</v>
      </c>
      <c r="B68" s="25"/>
      <c r="C68" s="22">
        <v>12966.7</v>
      </c>
      <c r="D68" s="23"/>
      <c r="E68" s="23"/>
      <c r="F68" s="23"/>
      <c r="G68" s="22">
        <v>12966.7</v>
      </c>
      <c r="H68" s="16"/>
      <c r="I68" s="17"/>
    </row>
    <row r="69" spans="1:9" ht="11" customHeight="1" outlineLevel="3" x14ac:dyDescent="0.2">
      <c r="A69" s="25" t="s">
        <v>35</v>
      </c>
      <c r="B69" s="25"/>
      <c r="C69" s="22">
        <v>12966.7</v>
      </c>
      <c r="D69" s="23"/>
      <c r="E69" s="23"/>
      <c r="F69" s="23"/>
      <c r="G69" s="22">
        <v>12966.7</v>
      </c>
      <c r="H69" s="16"/>
      <c r="I69" s="17"/>
    </row>
    <row r="70" spans="1:9" ht="20.350000000000001" customHeight="1" outlineLevel="3" x14ac:dyDescent="0.2">
      <c r="A70" s="27" t="s">
        <v>71</v>
      </c>
      <c r="B70" s="25"/>
      <c r="C70" s="22">
        <f>30099/1.2</f>
        <v>25082.5</v>
      </c>
      <c r="D70" s="23"/>
      <c r="E70" s="23"/>
      <c r="F70" s="23"/>
      <c r="G70" s="22">
        <f>C70</f>
        <v>25082.5</v>
      </c>
      <c r="H70" s="16"/>
      <c r="I70" s="17"/>
    </row>
    <row r="71" spans="1:9" ht="11" customHeight="1" outlineLevel="3" x14ac:dyDescent="0.2">
      <c r="A71" s="27" t="s">
        <v>55</v>
      </c>
      <c r="B71" s="25"/>
      <c r="C71" s="22">
        <f>95000/1.2</f>
        <v>79166.666666666672</v>
      </c>
      <c r="D71" s="23"/>
      <c r="E71" s="23"/>
      <c r="F71" s="23"/>
      <c r="G71" s="22">
        <f>C71</f>
        <v>79166.666666666672</v>
      </c>
      <c r="H71" s="16"/>
      <c r="I71" s="17"/>
    </row>
    <row r="72" spans="1:9" ht="21.6" customHeight="1" outlineLevel="3" x14ac:dyDescent="0.2">
      <c r="A72" s="27" t="s">
        <v>53</v>
      </c>
      <c r="B72" s="25"/>
      <c r="C72" s="22">
        <f>208000/1.2</f>
        <v>173333.33333333334</v>
      </c>
      <c r="D72" s="23"/>
      <c r="E72" s="23"/>
      <c r="F72" s="23"/>
      <c r="G72" s="22">
        <f>C72</f>
        <v>173333.33333333334</v>
      </c>
      <c r="H72" s="16"/>
      <c r="I72" s="17"/>
    </row>
    <row r="73" spans="1:9" ht="21.6" customHeight="1" outlineLevel="3" x14ac:dyDescent="0.2">
      <c r="A73" s="25" t="s">
        <v>74</v>
      </c>
      <c r="B73" s="25"/>
      <c r="C73" s="22">
        <f>29000/1.2</f>
        <v>24166.666666666668</v>
      </c>
      <c r="D73" s="23"/>
      <c r="E73" s="23"/>
      <c r="F73" s="23"/>
      <c r="G73" s="22">
        <f>C73</f>
        <v>24166.666666666668</v>
      </c>
      <c r="H73" s="16"/>
      <c r="I73" s="17"/>
    </row>
    <row r="74" spans="1:9" ht="38.35" customHeight="1" outlineLevel="3" x14ac:dyDescent="0.2">
      <c r="A74" s="26" t="s">
        <v>36</v>
      </c>
      <c r="B74" s="25"/>
      <c r="C74" s="22">
        <v>219375.05</v>
      </c>
      <c r="D74" s="23"/>
      <c r="E74" s="23"/>
      <c r="F74" s="23"/>
      <c r="G74" s="22">
        <v>219375.05</v>
      </c>
      <c r="H74" s="16"/>
      <c r="I74" s="17"/>
    </row>
    <row r="75" spans="1:9" ht="18.649999999999999" customHeight="1" outlineLevel="3" x14ac:dyDescent="0.2">
      <c r="A75" s="26" t="s">
        <v>61</v>
      </c>
      <c r="B75" s="25"/>
      <c r="C75" s="22">
        <f>237200/1.2</f>
        <v>197666.66666666669</v>
      </c>
      <c r="D75" s="23"/>
      <c r="E75" s="23"/>
      <c r="F75" s="23"/>
      <c r="G75" s="22">
        <f>C75</f>
        <v>197666.66666666669</v>
      </c>
      <c r="H75" s="16"/>
      <c r="I75" s="17"/>
    </row>
    <row r="76" spans="1:9" ht="27.1" customHeight="1" outlineLevel="3" x14ac:dyDescent="0.2">
      <c r="A76" s="26" t="s">
        <v>79</v>
      </c>
      <c r="B76" s="25"/>
      <c r="C76" s="22">
        <v>21200</v>
      </c>
      <c r="D76" s="23"/>
      <c r="E76" s="23"/>
      <c r="F76" s="23"/>
      <c r="G76" s="22">
        <f>C76</f>
        <v>21200</v>
      </c>
      <c r="H76" s="16"/>
      <c r="I76" s="17"/>
    </row>
    <row r="77" spans="1:9" ht="16.899999999999999" customHeight="1" outlineLevel="3" x14ac:dyDescent="0.2">
      <c r="A77" s="26" t="s">
        <v>59</v>
      </c>
      <c r="B77" s="25"/>
      <c r="C77" s="22">
        <f>81999/1.2</f>
        <v>68332.5</v>
      </c>
      <c r="D77" s="23"/>
      <c r="E77" s="23"/>
      <c r="F77" s="23"/>
      <c r="G77" s="22">
        <f>C77</f>
        <v>68332.5</v>
      </c>
      <c r="H77" s="16"/>
      <c r="I77" s="17"/>
    </row>
    <row r="78" spans="1:9" ht="22.25" customHeight="1" outlineLevel="3" x14ac:dyDescent="0.2">
      <c r="A78" s="25" t="s">
        <v>37</v>
      </c>
      <c r="B78" s="25"/>
      <c r="C78" s="22">
        <v>22900</v>
      </c>
      <c r="D78" s="23"/>
      <c r="E78" s="23"/>
      <c r="F78" s="23"/>
      <c r="G78" s="22">
        <v>22900</v>
      </c>
      <c r="H78" s="16"/>
      <c r="I78" s="17"/>
    </row>
    <row r="79" spans="1:9" ht="11" customHeight="1" outlineLevel="3" x14ac:dyDescent="0.2">
      <c r="A79" s="25" t="s">
        <v>38</v>
      </c>
      <c r="B79" s="25"/>
      <c r="C79" s="22">
        <v>240000</v>
      </c>
      <c r="D79" s="23"/>
      <c r="E79" s="23"/>
      <c r="F79" s="23"/>
      <c r="G79" s="22">
        <v>240000</v>
      </c>
      <c r="H79" s="16"/>
      <c r="I79" s="17"/>
    </row>
    <row r="80" spans="1:9" ht="11" customHeight="1" outlineLevel="3" x14ac:dyDescent="0.2">
      <c r="A80" s="25" t="s">
        <v>39</v>
      </c>
      <c r="B80" s="25"/>
      <c r="C80" s="22">
        <v>40108</v>
      </c>
      <c r="D80" s="23"/>
      <c r="E80" s="23"/>
      <c r="F80" s="23"/>
      <c r="G80" s="22">
        <v>40108</v>
      </c>
      <c r="H80" s="16"/>
      <c r="I80" s="17"/>
    </row>
    <row r="81" spans="1:9" ht="11" customHeight="1" outlineLevel="3" x14ac:dyDescent="0.2">
      <c r="A81" s="25" t="s">
        <v>40</v>
      </c>
      <c r="B81" s="25"/>
      <c r="C81" s="22">
        <v>30000</v>
      </c>
      <c r="D81" s="23"/>
      <c r="E81" s="23"/>
      <c r="F81" s="23"/>
      <c r="G81" s="22">
        <v>30000</v>
      </c>
      <c r="H81" s="16"/>
      <c r="I81" s="17"/>
    </row>
    <row r="82" spans="1:9" ht="11" customHeight="1" outlineLevel="3" x14ac:dyDescent="0.2">
      <c r="A82" s="26" t="s">
        <v>60</v>
      </c>
      <c r="B82" s="25"/>
      <c r="C82" s="22">
        <f>32000/1.2</f>
        <v>26666.666666666668</v>
      </c>
      <c r="D82" s="23"/>
      <c r="E82" s="23"/>
      <c r="F82" s="23"/>
      <c r="G82" s="22">
        <f>C82</f>
        <v>26666.666666666668</v>
      </c>
      <c r="H82" s="16"/>
      <c r="I82" s="17"/>
    </row>
    <row r="83" spans="1:9" ht="11" customHeight="1" outlineLevel="3" x14ac:dyDescent="0.2">
      <c r="A83" s="26" t="s">
        <v>83</v>
      </c>
      <c r="B83" s="25"/>
      <c r="C83" s="22">
        <v>46200</v>
      </c>
      <c r="D83" s="23"/>
      <c r="E83" s="23"/>
      <c r="F83" s="23"/>
      <c r="G83" s="22">
        <v>46200</v>
      </c>
      <c r="H83" s="16"/>
      <c r="I83" s="17"/>
    </row>
    <row r="84" spans="1:9" ht="22.25" customHeight="1" outlineLevel="3" x14ac:dyDescent="0.2">
      <c r="A84" s="25" t="s">
        <v>41</v>
      </c>
      <c r="B84" s="25"/>
      <c r="C84" s="22">
        <v>54625</v>
      </c>
      <c r="D84" s="23"/>
      <c r="E84" s="23"/>
      <c r="F84" s="23"/>
      <c r="G84" s="22">
        <v>54625</v>
      </c>
      <c r="H84" s="16"/>
      <c r="I84" s="17"/>
    </row>
    <row r="85" spans="1:9" ht="22.25" customHeight="1" outlineLevel="3" x14ac:dyDescent="0.2">
      <c r="A85" s="25" t="s">
        <v>70</v>
      </c>
      <c r="B85" s="25"/>
      <c r="C85" s="22">
        <f>31090/1.2</f>
        <v>25908.333333333336</v>
      </c>
      <c r="D85" s="23"/>
      <c r="E85" s="23"/>
      <c r="F85" s="23"/>
      <c r="G85" s="22">
        <f t="shared" ref="G85:G90" si="4">C85</f>
        <v>25908.333333333336</v>
      </c>
      <c r="H85" s="16"/>
      <c r="I85" s="17"/>
    </row>
    <row r="86" spans="1:9" ht="30.05" customHeight="1" outlineLevel="3" x14ac:dyDescent="0.2">
      <c r="A86" s="27" t="s">
        <v>48</v>
      </c>
      <c r="B86" s="25"/>
      <c r="C86" s="22">
        <f>54200/1.2</f>
        <v>45166.666666666672</v>
      </c>
      <c r="D86" s="23"/>
      <c r="E86" s="23"/>
      <c r="F86" s="23"/>
      <c r="G86" s="22">
        <f t="shared" si="4"/>
        <v>45166.666666666672</v>
      </c>
      <c r="H86" s="16"/>
      <c r="I86" s="17"/>
    </row>
    <row r="87" spans="1:9" ht="30.05" customHeight="1" outlineLevel="3" x14ac:dyDescent="0.2">
      <c r="A87" s="26" t="s">
        <v>62</v>
      </c>
      <c r="B87" s="25"/>
      <c r="C87" s="22">
        <f>34780/1.2</f>
        <v>28983.333333333336</v>
      </c>
      <c r="D87" s="23"/>
      <c r="E87" s="23"/>
      <c r="F87" s="23"/>
      <c r="G87" s="22">
        <f t="shared" si="4"/>
        <v>28983.333333333336</v>
      </c>
      <c r="H87" s="16"/>
      <c r="I87" s="17"/>
    </row>
    <row r="88" spans="1:9" ht="24.6" customHeight="1" outlineLevel="3" x14ac:dyDescent="0.2">
      <c r="A88" s="26" t="s">
        <v>64</v>
      </c>
      <c r="B88" s="25"/>
      <c r="C88" s="22">
        <f>24140/1.2</f>
        <v>20116.666666666668</v>
      </c>
      <c r="D88" s="23"/>
      <c r="E88" s="23"/>
      <c r="F88" s="23"/>
      <c r="G88" s="22">
        <f t="shared" si="4"/>
        <v>20116.666666666668</v>
      </c>
      <c r="H88" s="16"/>
      <c r="I88" s="17"/>
    </row>
    <row r="89" spans="1:9" ht="21" customHeight="1" outlineLevel="3" x14ac:dyDescent="0.2">
      <c r="A89" s="25" t="s">
        <v>90</v>
      </c>
      <c r="B89" s="25"/>
      <c r="C89" s="22">
        <v>111266.67</v>
      </c>
      <c r="D89" s="23"/>
      <c r="E89" s="23"/>
      <c r="F89" s="23"/>
      <c r="G89" s="22">
        <f t="shared" si="4"/>
        <v>111266.67</v>
      </c>
      <c r="H89" s="16"/>
      <c r="I89" s="17"/>
    </row>
    <row r="90" spans="1:9" ht="32.4" customHeight="1" outlineLevel="3" x14ac:dyDescent="0.2">
      <c r="A90" s="27" t="s">
        <v>50</v>
      </c>
      <c r="B90" s="25"/>
      <c r="C90" s="22">
        <f>92000/1.2</f>
        <v>76666.666666666672</v>
      </c>
      <c r="D90" s="23"/>
      <c r="E90" s="23"/>
      <c r="F90" s="23"/>
      <c r="G90" s="22">
        <f t="shared" si="4"/>
        <v>76666.666666666672</v>
      </c>
      <c r="H90" s="16"/>
      <c r="I90" s="17"/>
    </row>
    <row r="91" spans="1:9" ht="10.65" outlineLevel="3" x14ac:dyDescent="0.2">
      <c r="A91" s="24" t="s">
        <v>42</v>
      </c>
      <c r="B91" s="24"/>
      <c r="C91" s="14">
        <v>36666.699999999997</v>
      </c>
      <c r="D91" s="15"/>
      <c r="E91" s="15"/>
      <c r="F91" s="15"/>
      <c r="G91" s="14">
        <v>36666.699999999997</v>
      </c>
      <c r="H91" s="16"/>
      <c r="I91" s="17"/>
    </row>
    <row r="92" spans="1:9" ht="10.65" outlineLevel="3" x14ac:dyDescent="0.2">
      <c r="A92" s="24" t="s">
        <v>91</v>
      </c>
      <c r="B92" s="24"/>
      <c r="C92" s="14">
        <v>52880</v>
      </c>
      <c r="D92" s="15"/>
      <c r="E92" s="15"/>
      <c r="F92" s="15"/>
      <c r="G92" s="14">
        <v>52880</v>
      </c>
      <c r="H92" s="16"/>
      <c r="I92" s="17"/>
    </row>
    <row r="93" spans="1:9" ht="10.65" outlineLevel="3" x14ac:dyDescent="0.2">
      <c r="A93" s="28" t="s">
        <v>85</v>
      </c>
      <c r="B93" s="24"/>
      <c r="C93" s="14">
        <v>58000</v>
      </c>
      <c r="D93" s="15"/>
      <c r="E93" s="15"/>
      <c r="F93" s="15"/>
      <c r="G93" s="14">
        <v>58000</v>
      </c>
      <c r="H93" s="16"/>
      <c r="I93" s="17"/>
    </row>
    <row r="94" spans="1:9" ht="10.65" outlineLevel="3" x14ac:dyDescent="0.2">
      <c r="A94" s="28" t="s">
        <v>56</v>
      </c>
      <c r="B94" s="24"/>
      <c r="C94" s="14">
        <f>132269/1.2</f>
        <v>110224.16666666667</v>
      </c>
      <c r="D94" s="15"/>
      <c r="E94" s="15"/>
      <c r="F94" s="15"/>
      <c r="G94" s="14">
        <f>C94</f>
        <v>110224.16666666667</v>
      </c>
      <c r="H94" s="16"/>
      <c r="I94" s="17"/>
    </row>
    <row r="95" spans="1:9" ht="13.15" customHeight="1" x14ac:dyDescent="0.2">
      <c r="A95" s="29" t="s">
        <v>43</v>
      </c>
      <c r="B95" s="29"/>
      <c r="C95" s="18">
        <f>C11</f>
        <v>6049475.036666669</v>
      </c>
      <c r="D95" s="19"/>
      <c r="E95" s="18"/>
      <c r="F95" s="19"/>
      <c r="G95" s="18">
        <f>G11</f>
        <v>6049475.036666669</v>
      </c>
      <c r="H95" s="20"/>
      <c r="I95" s="21"/>
    </row>
  </sheetData>
  <mergeCells count="101">
    <mergeCell ref="A41:B41"/>
    <mergeCell ref="A39:B39"/>
    <mergeCell ref="A93:B93"/>
    <mergeCell ref="G7:G8"/>
    <mergeCell ref="H7:I8"/>
    <mergeCell ref="A8:B8"/>
    <mergeCell ref="A7:B7"/>
    <mergeCell ref="C7:C8"/>
    <mergeCell ref="D7:D8"/>
    <mergeCell ref="E7:E8"/>
    <mergeCell ref="F7:F8"/>
    <mergeCell ref="A33:B33"/>
    <mergeCell ref="A34:B34"/>
    <mergeCell ref="A21:B21"/>
    <mergeCell ref="A23:B23"/>
    <mergeCell ref="A27:B27"/>
    <mergeCell ref="A28:B28"/>
    <mergeCell ref="A29:B29"/>
    <mergeCell ref="A1:H1"/>
    <mergeCell ref="A2:H2"/>
    <mergeCell ref="B4:H4"/>
    <mergeCell ref="A6:B6"/>
    <mergeCell ref="C6:D6"/>
    <mergeCell ref="E6:F6"/>
    <mergeCell ref="G6:I6"/>
    <mergeCell ref="A83:B83"/>
    <mergeCell ref="A61:B61"/>
    <mergeCell ref="A73:B73"/>
    <mergeCell ref="A74:B74"/>
    <mergeCell ref="A78:B78"/>
    <mergeCell ref="A79:B79"/>
    <mergeCell ref="A80:B80"/>
    <mergeCell ref="A81:B81"/>
    <mergeCell ref="A72:B72"/>
    <mergeCell ref="A63:B63"/>
    <mergeCell ref="A64:B64"/>
    <mergeCell ref="A77:B77"/>
    <mergeCell ref="A82:B82"/>
    <mergeCell ref="A75:B75"/>
    <mergeCell ref="A53:B53"/>
    <mergeCell ref="A14:B14"/>
    <mergeCell ref="A25:B25"/>
    <mergeCell ref="A10:B10"/>
    <mergeCell ref="A11:B11"/>
    <mergeCell ref="A12:B12"/>
    <mergeCell ref="A70:B70"/>
    <mergeCell ref="A59:B59"/>
    <mergeCell ref="A62:B62"/>
    <mergeCell ref="A51:B51"/>
    <mergeCell ref="A52:B52"/>
    <mergeCell ref="A56:B56"/>
    <mergeCell ref="A44:B44"/>
    <mergeCell ref="A65:B65"/>
    <mergeCell ref="A66:B66"/>
    <mergeCell ref="A67:B67"/>
    <mergeCell ref="A68:B68"/>
    <mergeCell ref="A69:B69"/>
    <mergeCell ref="A57:B57"/>
    <mergeCell ref="A26:B26"/>
    <mergeCell ref="A37:B37"/>
    <mergeCell ref="A16:B16"/>
    <mergeCell ref="A31:B31"/>
    <mergeCell ref="A32:B32"/>
    <mergeCell ref="A15:B15"/>
    <mergeCell ref="A17:B17"/>
    <mergeCell ref="A18:B18"/>
    <mergeCell ref="A95:B95"/>
    <mergeCell ref="A84:B84"/>
    <mergeCell ref="A94:B94"/>
    <mergeCell ref="A86:B86"/>
    <mergeCell ref="A91:B91"/>
    <mergeCell ref="A90:B90"/>
    <mergeCell ref="A87:B87"/>
    <mergeCell ref="A88:B88"/>
    <mergeCell ref="A85:B85"/>
    <mergeCell ref="A89:B89"/>
    <mergeCell ref="A92:B92"/>
    <mergeCell ref="A13:B13"/>
    <mergeCell ref="A48:B48"/>
    <mergeCell ref="A76:B76"/>
    <mergeCell ref="A42:B42"/>
    <mergeCell ref="A43:B43"/>
    <mergeCell ref="A71:B71"/>
    <mergeCell ref="A24:B24"/>
    <mergeCell ref="A47:B47"/>
    <mergeCell ref="A35:B35"/>
    <mergeCell ref="A58:B58"/>
    <mergeCell ref="A60:B60"/>
    <mergeCell ref="A50:B50"/>
    <mergeCell ref="A54:B54"/>
    <mergeCell ref="A55:B55"/>
    <mergeCell ref="A19:B19"/>
    <mergeCell ref="A20:B20"/>
    <mergeCell ref="A30:B30"/>
    <mergeCell ref="A40:B40"/>
    <mergeCell ref="A38:B38"/>
    <mergeCell ref="A45:B45"/>
    <mergeCell ref="A46:B46"/>
    <mergeCell ref="A22:B22"/>
    <mergeCell ref="A49:B49"/>
    <mergeCell ref="A36:B36"/>
  </mergeCells>
  <pageMargins left="0.23622047244094488" right="0.23622047244094488" top="0.23622047244094488" bottom="0.23622047244094488" header="0.15748031496062992" footer="0.15748031496062992"/>
  <pageSetup paperSize="9" scale="84" fitToHeight="0" pageOrder="overThenDown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</dc:creator>
  <cp:lastModifiedBy>TENDER</cp:lastModifiedBy>
  <cp:lastPrinted>2025-09-22T07:57:00Z</cp:lastPrinted>
  <dcterms:modified xsi:type="dcterms:W3CDTF">2026-06-26T05:39:47Z</dcterms:modified>
</cp:coreProperties>
</file>